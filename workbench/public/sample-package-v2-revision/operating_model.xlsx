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1ab207740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ea2fd3657ad4a3e"/>
    <x:sheet xmlns:r="http://schemas.openxmlformats.org/officeDocument/2006/relationships" name="Operating Model" sheetId="2" r:id="Rbd90301700f04189"/>
    <x:sheet xmlns:r="http://schemas.openxmlformats.org/officeDocument/2006/relationships" name="Budget &amp; Pipeline" sheetId="3" r:id="Rdcfcbe15153b4855"/>
  </x:sheets>
</x:workbook>
</file>

<file path=xl/comments1.xml><?xml version="1.0" encoding="utf-8"?>
<x:comments xmlns:x="http://schemas.openxmlformats.org/spreadsheetml/2006/main">
  <x:authors>
    <x:author>tc={3F4AD106-C54F-4B8D-BAE6-40A473D313F0}</x:author>
  </x:authors>
  <x:commentList>
    <x:comment ref="B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seller add-back. The Desk rejects this row from screening calculations until a QoE review supports it.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[Red]($#,##0);-"/>
    <x:numFmt numFmtId="201" formatCode="$#,##0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4233A"/>
      <x:name val="Carlito"/>
    </x:font>
    <x:font>
      <x:i/>
      <x:sz val="11"/>
      <x:color rgb="FF505B6D"/>
      <x:name val="Carlito"/>
    </x:font>
    <x:font>
      <x:b/>
      <x:sz val="11"/>
      <x:color rgb="FF000000"/>
      <x:name val="Carlito"/>
    </x:font>
    <x:font>
      <x:sz val="11"/>
      <x:color rgb="FF5E4A12"/>
      <x:name val="Carlito"/>
    </x:font>
    <x:font>
      <x:b/>
      <x:sz val="13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33A"/>
      </x:patternFill>
    </x:fill>
    <x:fill>
      <x:patternFill patternType="solid">
        <x:fgColor rgb="FFE8EDF4"/>
      </x:patternFill>
    </x:fill>
    <x:fill>
      <x:patternFill patternType="solid">
        <x:fgColor rgb="FFFFF6D9"/>
      </x:patternFill>
    </x:fill>
  </x:fills>
  <x:borders count="7">
    <x:border/>
    <x:border>
      <x:right style="thin">
        <x:color rgb="FFD9DEE7"/>
      </x:right>
      <x:bottom style="thin">
        <x:color rgb="FFD9DEE7"/>
      </x:bottom>
    </x:border>
    <x:border>
      <x:left style="thin">
        <x:color rgb="FFD9DEE7"/>
      </x:left>
      <x:bottom style="thin">
        <x:color rgb="FFD9DEE7"/>
      </x:bottom>
    </x:border>
    <x:border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top style="thin">
        <x:color rgb="FFD9DEE7"/>
      </x:top>
      <x:bottom style="thin">
        <x:color rgb="FFD9DEE7"/>
      </x:bottom>
    </x:border>
    <x:border>
      <x:right style="thin">
        <x:color rgb="FFD9DEE7"/>
      </x:right>
      <x:top style="thin">
        <x:color rgb="FFD9DEE7"/>
      </x:top>
    </x:border>
    <x:border>
      <x:left style="thin">
        <x:color rgb="FFD9DEE7"/>
      </x:left>
      <x:top style="thin">
        <x:color rgb="FFD9DEE7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5" fillId="4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f8265f213407e" /><Relationship Type="http://schemas.openxmlformats.org/officeDocument/2006/relationships/theme" Target="/xl/theme/theme1.xml" Id="R814e816c1bf84707" /><Relationship Type="http://schemas.openxmlformats.org/officeDocument/2006/relationships/sharedStrings" Target="/xl/sharedStrings.xml" Id="R2038e5bd9e6c4a53" /><Relationship Type="http://schemas.openxmlformats.org/officeDocument/2006/relationships/worksheet" Target="/xl/worksheets/sheet1.xml" Id="Rdea2fd3657ad4a3e" /><Relationship Type="http://schemas.openxmlformats.org/officeDocument/2006/relationships/worksheet" Target="/xl/worksheets/sheet2.xml" Id="Rbd90301700f04189" /><Relationship Type="http://schemas.openxmlformats.org/officeDocument/2006/relationships/worksheet" Target="/xl/worksheets/sheet3.xml" Id="Rdcfcbe15153b4855" /><Relationship Type="http://schemas.microsoft.com/office/2017/10/relationships/person" Target="/xl/persons/person.xml" Id="R94e3ecf4841140c6" /></Relationships>
</file>

<file path=xl/persons/person.xml><?xml version="1.0" encoding="utf-8"?>
<xltc:personList xmlns:xltc="http://schemas.microsoft.com/office/spreadsheetml/2018/threadedcomments">
  <xltc:person displayName="Cooper David Reed" id="{4C803259-ABBE-45EC-AE8E-B9C89AFCEB1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9" dT="2026-09-03T18:59:49.106" personId="{4C803259-ABBE-45EC-AE8E-B9C89AFCEB18}" id="{3F4AD106-C54F-4B8D-BAE6-40A473D313F0}">
    <xltc:text>Illustrative seller add-back. The Desk rejects this row from screening calculations until a QoE review supports it.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31af9628a53435d" /><Relationship Type="http://schemas.openxmlformats.org/officeDocument/2006/relationships/vmlDrawing" Target="/xl/drawings/vmldrawing.vml" Id="Rc162c25606404e33" /><Relationship Type="http://schemas.microsoft.com/office/2017/10/relationships/threadedComment" Target="/xl/threadedcomments/threadedcomment.xml" Id="Rff084ff2ecb34a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</x:cols>
  <x:sheetData>
    <x:row r="1" ht="28" customHeight="1">
      <x:c r="A1" s="2" t="str">
        <x:v>Northstar Metrics - synthetic operating model</x:v>
      </x:c>
      <x:c r="B1" s="2"/>
      <x:c r="C1" s="2"/>
      <x:c r="D1" s="2"/>
      <x:c r="E1" s="2"/>
      <x:c r="F1" s="2"/>
    </x:row>
    <x:row r="3">
      <x:c r="A3" s="4" t="str">
        <x:v>Purpose</x:v>
      </x:c>
      <x:c r="B3" s="5" t="str">
        <x:v>Public demonstration input for Underwriting Desk</x:v>
      </x:c>
    </x:row>
    <x:row r="4">
      <x:c r="A4" s="6" t="str">
        <x:v>Company</x:v>
      </x:c>
      <x:c r="B4" s="7" t="str">
        <x:v>Northstar Metrics (fictional)</x:v>
      </x:c>
    </x:row>
    <x:row r="5">
      <x:c r="A5" s="6" t="str">
        <x:v>Version</x:v>
      </x:c>
      <x:c r="B5" s="7" t="str">
        <x:v>Management V1 delivery</x:v>
      </x:c>
    </x:row>
    <x:row r="6">
      <x:c r="A6" s="6" t="str">
        <x:v>Cutoff</x:v>
      </x:c>
      <x:c r="B6" s="7" t="str">
        <x:v>2026-06-30</x:v>
      </x:c>
    </x:row>
    <x:row r="7">
      <x:c r="A7" s="6" t="str">
        <x:v>Units</x:v>
      </x:c>
      <x:c r="B7" s="7" t="str">
        <x:v>USD unless otherwise noted</x:v>
      </x:c>
    </x:row>
    <x:row r="8">
      <x:c r="A8" s="8" t="str">
        <x:v>Boundary</x:v>
      </x:c>
      <x:c r="B8" s="9" t="str">
        <x:v>Synthetic data. Not investment advice.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28" customHeight="1">
      <x:c r="A1" s="2" t="str">
        <x:v>Operating model - management V1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10" t="str">
        <x:v>Historical actuals through June 2026; July 2026 is an unapproved management forecast and should be excluded at the declared cutoff.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>
      <x:c r="A4" s="12" t="str">
        <x:v>Metric</x:v>
      </x:c>
      <x:c r="B4" s="12" t="str">
        <x:v>2025-06</x:v>
      </x:c>
      <x:c r="C4" s="12" t="str">
        <x:v>2025-07</x:v>
      </x:c>
      <x:c r="D4" s="12" t="str">
        <x:v>2025-08</x:v>
      </x:c>
      <x:c r="E4" s="12" t="str">
        <x:v>2025-09</x:v>
      </x:c>
      <x:c r="F4" s="12" t="str">
        <x:v>2025-10</x:v>
      </x:c>
      <x:c r="G4" s="12" t="str">
        <x:v>2025-11</x:v>
      </x:c>
      <x:c r="H4" s="12" t="str">
        <x:v>2025-12</x:v>
      </x:c>
      <x:c r="I4" s="12" t="str">
        <x:v>2026-01</x:v>
      </x:c>
      <x:c r="J4" s="12" t="str">
        <x:v>2026-02</x:v>
      </x:c>
      <x:c r="K4" s="12" t="str">
        <x:v>2026-03</x:v>
      </x:c>
      <x:c r="L4" s="12" t="str">
        <x:v>2026-04</x:v>
      </x:c>
      <x:c r="M4" s="12" t="str">
        <x:v>2026-05</x:v>
      </x:c>
      <x:c r="N4" s="12" t="str">
        <x:v>2026-06</x:v>
      </x:c>
      <x:c r="O4" s="12" t="str">
        <x:v>2026-07</x:v>
      </x:c>
    </x:row>
    <x:row r="5">
      <x:c r="A5" t="str">
        <x:v>Net Revenue ($)</x:v>
      </x:c>
      <x:c r="B5" s="16" t="n">
        <x:v>1000000</x:v>
      </x:c>
      <x:c r="C5" s="16" t="n">
        <x:v>1050000</x:v>
      </x:c>
      <x:c r="D5" s="16" t="n">
        <x:v>1100000</x:v>
      </x:c>
      <x:c r="E5" s="16" t="n">
        <x:v>1150000</x:v>
      </x:c>
      <x:c r="F5" s="16" t="n">
        <x:v>1200000</x:v>
      </x:c>
      <x:c r="G5" s="16" t="n">
        <x:v>1250000</x:v>
      </x:c>
      <x:c r="H5" s="16" t="n">
        <x:v>1300000</x:v>
      </x:c>
      <x:c r="I5" s="16" t="n">
        <x:v>1350000</x:v>
      </x:c>
      <x:c r="J5" s="16" t="n">
        <x:v>1400000</x:v>
      </x:c>
      <x:c r="K5" s="16" t="n">
        <x:v>1450000</x:v>
      </x:c>
      <x:c r="L5" s="16" t="n">
        <x:v>1500000</x:v>
      </x:c>
      <x:c r="M5" s="16" t="n">
        <x:v>1550000</x:v>
      </x:c>
      <x:c r="N5" s="16" t="n">
        <x:v>1600000</x:v>
      </x:c>
      <x:c r="O5" s="16" t="n">
        <x:v>1660000</x:v>
      </x:c>
    </x:row>
    <x:row r="6">
      <x:c r="A6" t="str">
        <x:v>Cost of Revenue ($)</x:v>
      </x:c>
      <x:c r="B6" s="16" t="n">
        <x:v>300000</x:v>
      </x:c>
      <x:c r="C6" s="16" t="n">
        <x:v>315000</x:v>
      </x:c>
      <x:c r="D6" s="16" t="n">
        <x:v>330000</x:v>
      </x:c>
      <x:c r="E6" s="16" t="n">
        <x:v>345000</x:v>
      </x:c>
      <x:c r="F6" s="16" t="n">
        <x:v>360000</x:v>
      </x:c>
      <x:c r="G6" s="16" t="n">
        <x:v>375000</x:v>
      </x:c>
      <x:c r="H6" s="16" t="n">
        <x:v>390000</x:v>
      </x:c>
      <x:c r="I6" s="16" t="n">
        <x:v>405000</x:v>
      </x:c>
      <x:c r="J6" s="16" t="n">
        <x:v>420000</x:v>
      </x:c>
      <x:c r="K6" s="16" t="n">
        <x:v>435000</x:v>
      </x:c>
      <x:c r="L6" s="16" t="n">
        <x:v>450000</x:v>
      </x:c>
      <x:c r="M6" s="16" t="n">
        <x:v>465000</x:v>
      </x:c>
      <x:c r="N6" s="16" t="n">
        <x:v>480000</x:v>
      </x:c>
      <x:c r="O6" s="16" t="n">
        <x:v>498000</x:v>
      </x:c>
    </x:row>
    <x:row r="7">
      <x:c r="A7" s="13" t="str">
        <x:v>Gross Profit ($)</x:v>
      </x:c>
      <x:c r="B7" s="17" t="n">
        <x:f>B5-B6</x:f>
        <x:v>700000</x:v>
      </x:c>
      <x:c r="C7" s="17" t="n">
        <x:f>C5-C6</x:f>
        <x:v>735000</x:v>
      </x:c>
      <x:c r="D7" s="17" t="n">
        <x:f>D5-D6</x:f>
        <x:v>770000</x:v>
      </x:c>
      <x:c r="E7" s="17" t="n">
        <x:f>E5-E6</x:f>
        <x:v>805000</x:v>
      </x:c>
      <x:c r="F7" s="17" t="n">
        <x:f>F5-F6</x:f>
        <x:v>840000</x:v>
      </x:c>
      <x:c r="G7" s="17" t="n">
        <x:f>G5-G6</x:f>
        <x:v>875000</x:v>
      </x:c>
      <x:c r="H7" s="17" t="n">
        <x:f>H5-H6</x:f>
        <x:v>910000</x:v>
      </x:c>
      <x:c r="I7" s="17" t="n">
        <x:f>I5-I6</x:f>
        <x:v>945000</x:v>
      </x:c>
      <x:c r="J7" s="17" t="n">
        <x:f>J5-J6</x:f>
        <x:v>980000</x:v>
      </x:c>
      <x:c r="K7" s="17" t="n">
        <x:f>K5-K6</x:f>
        <x:v>1015000</x:v>
      </x:c>
      <x:c r="L7" s="17" t="n">
        <x:f>L5-L6</x:f>
        <x:v>1050000</x:v>
      </x:c>
      <x:c r="M7" s="17" t="n">
        <x:f>M5-M6</x:f>
        <x:v>1085000</x:v>
      </x:c>
      <x:c r="N7" s="17" t="n">
        <x:f>N5-N6</x:f>
        <x:v>1120000</x:v>
      </x:c>
      <x:c r="O7" s="17" t="n">
        <x:f>O5-O6</x:f>
        <x:v>1162000</x:v>
      </x:c>
    </x:row>
    <x:row r="8">
      <x:c r="A8" t="str">
        <x:v>Operating Expense ($)</x:v>
      </x:c>
      <x:c r="B8" s="16" t="n">
        <x:v>1040000</x:v>
      </x:c>
      <x:c r="C8" s="16" t="n">
        <x:v>1050000</x:v>
      </x:c>
      <x:c r="D8" s="16" t="n">
        <x:v>1070000</x:v>
      </x:c>
      <x:c r="E8" s="16" t="n">
        <x:v>1090000</x:v>
      </x:c>
      <x:c r="F8" s="16" t="n">
        <x:v>1110000</x:v>
      </x:c>
      <x:c r="G8" s="16" t="n">
        <x:v>1140000</x:v>
      </x:c>
      <x:c r="H8" s="16" t="n">
        <x:v>1170000</x:v>
      </x:c>
      <x:c r="I8" s="16" t="n">
        <x:v>1200000</x:v>
      </x:c>
      <x:c r="J8" s="16" t="n">
        <x:v>1230000</x:v>
      </x:c>
      <x:c r="K8" s="16" t="n">
        <x:v>1260000</x:v>
      </x:c>
      <x:c r="L8" s="16" t="n">
        <x:v>1290000</x:v>
      </x:c>
      <x:c r="M8" s="16" t="n">
        <x:v>1320000</x:v>
      </x:c>
      <x:c r="N8" s="16" t="n">
        <x:v>1350000</x:v>
      </x:c>
      <x:c r="O8" s="16" t="n">
        <x:v>1380000</x:v>
      </x:c>
    </x:row>
    <x:row r="9">
      <x:c r="A9" s="15" t="str">
        <x:v>Adjusted EBITDA ($)</x:v>
      </x:c>
      <x:c r="B9" s="18" t="n">
        <x:f>B7-B8+150000</x:f>
        <x:v>-190000</x:v>
      </x:c>
      <x:c r="C9" s="18" t="n">
        <x:f>C7-C8+150000</x:f>
        <x:v>-165000</x:v>
      </x:c>
      <x:c r="D9" s="18" t="n">
        <x:f>D7-D8+150000</x:f>
        <x:v>-150000</x:v>
      </x:c>
      <x:c r="E9" s="18" t="n">
        <x:f>E7-E8+150000</x:f>
        <x:v>-135000</x:v>
      </x:c>
      <x:c r="F9" s="18" t="n">
        <x:f>F7-F8+150000</x:f>
        <x:v>-120000</x:v>
      </x:c>
      <x:c r="G9" s="18" t="n">
        <x:f>G7-G8+150000</x:f>
        <x:v>-115000</x:v>
      </x:c>
      <x:c r="H9" s="18" t="n">
        <x:f>H7-H8+150000</x:f>
        <x:v>-110000</x:v>
      </x:c>
      <x:c r="I9" s="18" t="n">
        <x:f>I7-I8+150000</x:f>
        <x:v>-105000</x:v>
      </x:c>
      <x:c r="J9" s="18" t="n">
        <x:f>J7-J8+150000</x:f>
        <x:v>-100000</x:v>
      </x:c>
      <x:c r="K9" s="18" t="n">
        <x:f>K7-K8+150000</x:f>
        <x:v>-95000</x:v>
      </x:c>
      <x:c r="L9" s="18" t="n">
        <x:f>L7-L8+150000</x:f>
        <x:v>-90000</x:v>
      </x:c>
      <x:c r="M9" s="18" t="n">
        <x:f>M7-M8+150000</x:f>
        <x:v>-85000</x:v>
      </x:c>
      <x:c r="N9" s="18" t="n">
        <x:f>N7-N8+150000</x:f>
        <x:v>-80000</x:v>
      </x:c>
      <x:c r="O9" s="18" t="n">
        <x:f>O7-O8+150000</x:f>
        <x:v>-68000</x:v>
      </x:c>
    </x:row>
  </x:sheetData>
  <x:mergeCells>
    <x:mergeCell ref="A1:O1"/>
    <x:mergeCell ref="A2:O2"/>
  </x:mergeCells>
  <x:pageMargins left="0.7" right="0.7" top="0.75" bottom="0.75" header="0.3" footer="0.3"/>
  <x:legacyDrawing xmlns:r="http://schemas.openxmlformats.org/officeDocument/2006/relationships" r:id="Rc162c25606404e3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9" t="str">
        <x:v>Budget and pipeline - not part of Version 1 calculations</x:v>
      </x:c>
      <x:c r="B1" s="19"/>
      <x:c r="C1" s="19"/>
      <x:c r="D1" s="19"/>
    </x:row>
    <x:row r="3">
      <x:c r="A3" s="20" t="str">
        <x:v>Opportunity</x:v>
      </x:c>
      <x:c r="B3" s="20" t="str">
        <x:v>Stage</x:v>
      </x:c>
      <x:c r="C3" s="20" t="str">
        <x:v>Potential ARR</x:v>
      </x:c>
      <x:c r="D3" s="20" t="str">
        <x:v>Owner</x:v>
      </x:c>
    </x:row>
    <x:row r="4">
      <x:c r="A4" t="str">
        <x:v>Enterprise Alpha</x:v>
      </x:c>
      <x:c r="B4" t="str">
        <x:v>Proposal</x:v>
      </x:c>
      <x:c r="C4" s="21" t="n">
        <x:v>450000</x:v>
      </x:c>
      <x:c r="D4" t="str">
        <x:v>Sales</x:v>
      </x:c>
    </x:row>
    <x:row r="5">
      <x:c r="A5" t="str">
        <x:v>Enterprise Beta</x:v>
      </x:c>
      <x:c r="B5" t="str">
        <x:v>Discovery</x:v>
      </x:c>
      <x:c r="C5" s="21" t="n">
        <x:v>300000</x:v>
      </x:c>
      <x:c r="D5" t="str">
        <x:v>Sales</x:v>
      </x:c>
    </x:row>
    <x:row r="6">
      <x:c r="A6" t="str">
        <x:v>Expansion Gamma</x:v>
      </x:c>
      <x:c r="B6" t="str">
        <x:v>Verbal</x:v>
      </x:c>
      <x:c r="C6" s="21" t="n">
        <x:v>180000</x:v>
      </x:c>
      <x:c r="D6" t="str">
        <x:v>Customer success</x:v>
      </x:c>
    </x:row>
  </x:sheetData>
  <x:mergeCells>
    <x:mergeCell ref="A1:D1"/>
  </x:mergeCells>
  <x:pageMargins left="0.7" right="0.7" top="0.75" bottom="0.75" header="0.3" footer="0.3"/>
</x:worksheet>
</file>